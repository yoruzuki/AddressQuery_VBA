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創益\"/>
    </mc:Choice>
  </mc:AlternateContent>
  <xr:revisionPtr revIDLastSave="0" documentId="13_ncr:1_{12DB9B76-2F59-4B00-B745-9709E8132DC1}" xr6:coauthVersionLast="47" xr6:coauthVersionMax="47" xr10:uidLastSave="{00000000-0000-0000-0000-000000000000}"/>
  <bookViews>
    <workbookView xWindow="-96" yWindow="0" windowWidth="10512" windowHeight="12336" firstSheet="1" activeTab="1" xr2:uid="{D4F0E2D0-6CF6-41AF-91DB-41C6FAE0DC13}"/>
  </bookViews>
  <sheets>
    <sheet name="基本操作" sheetId="1" r:id="rId1"/>
    <sheet name="郵便番号" sheetId="3" r:id="rId2"/>
    <sheet name="Sheet2" sheetId="2" r:id="rId3"/>
  </sheets>
  <functionGroups builtInGroupCount="19"/>
  <definedNames>
    <definedName name="_xlnm._FilterDatabase" localSheetId="0" hidden="1">基本操作!$A$1:$N$9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1" l="1"/>
  <c r="F6" i="1"/>
  <c r="F5" i="1"/>
  <c r="F4" i="1"/>
  <c r="F3" i="1"/>
  <c r="F2" i="1"/>
  <c r="M8" i="1"/>
  <c r="M4" i="1"/>
  <c r="M5" i="1"/>
  <c r="G3" i="1"/>
  <c r="G4" i="1"/>
  <c r="G5" i="1"/>
  <c r="G6" i="1"/>
  <c r="G7" i="1"/>
  <c r="G2" i="1"/>
  <c r="M7" i="1"/>
</calcChain>
</file>

<file path=xl/sharedStrings.xml><?xml version="1.0" encoding="utf-8"?>
<sst xmlns="http://schemas.openxmlformats.org/spreadsheetml/2006/main" count="52" uniqueCount="49">
  <si>
    <t>A</t>
  </si>
  <si>
    <t>A</t>
    <phoneticPr fontId="2"/>
  </si>
  <si>
    <t>B</t>
    <phoneticPr fontId="2"/>
  </si>
  <si>
    <t>C</t>
    <phoneticPr fontId="2"/>
  </si>
  <si>
    <t>D</t>
    <phoneticPr fontId="2"/>
  </si>
  <si>
    <t>B23</t>
  </si>
  <si>
    <t>C34</t>
  </si>
  <si>
    <t>C45</t>
  </si>
  <si>
    <t>C56</t>
  </si>
  <si>
    <t>D67</t>
  </si>
  <si>
    <t>张三</t>
    <phoneticPr fontId="2"/>
  </si>
  <si>
    <t>李四</t>
    <phoneticPr fontId="2"/>
  </si>
  <si>
    <t>王五</t>
    <phoneticPr fontId="2"/>
  </si>
  <si>
    <t>马六</t>
    <phoneticPr fontId="2"/>
  </si>
  <si>
    <t>朱七</t>
    <phoneticPr fontId="2"/>
  </si>
  <si>
    <t>朱八</t>
    <phoneticPr fontId="2"/>
  </si>
  <si>
    <t>ID</t>
    <phoneticPr fontId="2"/>
  </si>
  <si>
    <t>姓名</t>
    <phoneticPr fontId="2"/>
  </si>
  <si>
    <t>VLOOKUP</t>
    <phoneticPr fontId="2"/>
  </si>
  <si>
    <t>C56</t>
    <phoneticPr fontId="2"/>
  </si>
  <si>
    <t>A12</t>
    <phoneticPr fontId="2"/>
  </si>
  <si>
    <t>语文</t>
    <phoneticPr fontId="2"/>
  </si>
  <si>
    <t>数学</t>
    <phoneticPr fontId="2"/>
  </si>
  <si>
    <t>英语</t>
    <phoneticPr fontId="2"/>
  </si>
  <si>
    <t>语文及格人数</t>
    <phoneticPr fontId="2"/>
  </si>
  <si>
    <t>合计</t>
    <phoneticPr fontId="2"/>
  </si>
  <si>
    <t>ccc</t>
    <phoneticPr fontId="2"/>
  </si>
  <si>
    <t>语文及格者的合计分数</t>
    <phoneticPr fontId="2"/>
  </si>
  <si>
    <t>ファイル名</t>
    <rPh sb="4" eb="5">
      <t>メイ</t>
    </rPh>
    <phoneticPr fontId="2"/>
  </si>
  <si>
    <t>A.java</t>
    <phoneticPr fontId="2"/>
  </si>
  <si>
    <t>B.java</t>
    <phoneticPr fontId="2"/>
  </si>
  <si>
    <t>セキュリティ問題ある行数</t>
    <rPh sb="6" eb="8">
      <t>モンダイ</t>
    </rPh>
    <rPh sb="10" eb="12">
      <t>ギョウスウ</t>
    </rPh>
    <phoneticPr fontId="2"/>
  </si>
  <si>
    <t>…...</t>
    <phoneticPr fontId="2"/>
  </si>
  <si>
    <t>ソースコード</t>
    <phoneticPr fontId="2"/>
  </si>
  <si>
    <t>レベル</t>
    <phoneticPr fontId="2"/>
  </si>
  <si>
    <t>平均点</t>
    <rPh sb="0" eb="3">
      <t>ヘイキンテン</t>
    </rPh>
    <phoneticPr fontId="2"/>
  </si>
  <si>
    <t>zipcode</t>
  </si>
  <si>
    <t>prefcode</t>
  </si>
  <si>
    <t>address1</t>
  </si>
  <si>
    <t>address2</t>
  </si>
  <si>
    <t>address3</t>
  </si>
  <si>
    <t>郵便番号</t>
  </si>
  <si>
    <t>都道府県コード</t>
  </si>
  <si>
    <t>都道府県名</t>
  </si>
  <si>
    <t>市区町村名</t>
  </si>
  <si>
    <t>町域名</t>
  </si>
  <si>
    <t>千葉県</t>
  </si>
  <si>
    <t>船橋市</t>
  </si>
  <si>
    <t>山手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</si>
</sst>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0" formatCode="0.00_);[Red]\(0.00\)"/>
  </numFmts>
  <fonts count="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sz val="6"/>
      <name val="游ゴシック"/>
      <family val="2"/>
      <charset val="128"/>
      <scheme val="minor"/>
    </font>
    <font>
      <sz val="11"/>
      <color theme="1"/>
      <name val="Microsoft YaHei"/>
      <family val="2"/>
      <charset val="134"/>
    </font>
    <font>
      <sz val="11"/>
      <color rgb="FF000000"/>
      <name val="游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3" fillId="2" borderId="1" xfId="0" applyFont="1" applyFill="1" applyBorder="1">
      <alignment vertical="center"/>
    </xf>
    <xf numFmtId="0" fontId="0" fillId="3" borderId="1" xfId="0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5" fillId="2" borderId="3" xfId="0" applyFont="1" applyFill="1" applyBorder="1">
      <alignment vertical="center"/>
    </xf>
    <xf numFmtId="180" fontId="0" fillId="0" borderId="1" xfId="0" applyNumberFormat="1" applyBorder="1">
      <alignment vertical="center"/>
    </xf>
    <xf numFmtId="0" fontId="6" fillId="3" borderId="0" xfId="0" applyFont="1" applyFill="1">
      <alignment vertical="center"/>
    </xf>
    <xf numFmtId="0" fontId="6" fillId="3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6" fillId="3" borderId="1" xfId="0" applyFont="1" applyFill="1" applyBorder="1" applyAlignment="1">
      <alignment vertical="center" wrapText="1"/>
    </xf>
  </cellXfs>
  <cellStyles count="1">
    <cellStyle name="標準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CC0-4BD6-8DC7-5670983C6CB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CC0-4BD6-8DC7-5670983C6CB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CC0-4BD6-8DC7-5670983C6CB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CC0-4BD6-8DC7-5670983C6CB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CC0-4BD6-8DC7-5670983C6CB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CC0-4BD6-8DC7-5670983C6CB7}"/>
              </c:ext>
            </c:extLst>
          </c:dPt>
          <c:cat>
            <c:multiLvlStrRef>
              <c:f>基本操作!$A$2:$B$7</c:f>
              <c:multiLvlStrCache>
                <c:ptCount val="6"/>
                <c:lvl>
                  <c:pt idx="0">
                    <c:v>张三</c:v>
                  </c:pt>
                  <c:pt idx="1">
                    <c:v>李四</c:v>
                  </c:pt>
                  <c:pt idx="2">
                    <c:v>王五</c:v>
                  </c:pt>
                  <c:pt idx="3">
                    <c:v>马六</c:v>
                  </c:pt>
                  <c:pt idx="4">
                    <c:v>朱七</c:v>
                  </c:pt>
                  <c:pt idx="5">
                    <c:v>朱八</c:v>
                  </c:pt>
                </c:lvl>
                <c:lvl>
                  <c:pt idx="0">
                    <c:v>A12</c:v>
                  </c:pt>
                  <c:pt idx="1">
                    <c:v>B23</c:v>
                  </c:pt>
                  <c:pt idx="2">
                    <c:v>C34</c:v>
                  </c:pt>
                  <c:pt idx="3">
                    <c:v>C45</c:v>
                  </c:pt>
                  <c:pt idx="4">
                    <c:v>C56</c:v>
                  </c:pt>
                  <c:pt idx="5">
                    <c:v>D67</c:v>
                  </c:pt>
                </c:lvl>
              </c:multiLvlStrCache>
            </c:multiLvlStrRef>
          </c:cat>
          <c:val>
            <c:numRef>
              <c:f>基本操作!$C$2:$C$7</c:f>
              <c:numCache>
                <c:formatCode>General</c:formatCode>
                <c:ptCount val="6"/>
                <c:pt idx="0">
                  <c:v>45</c:v>
                </c:pt>
                <c:pt idx="1">
                  <c:v>34</c:v>
                </c:pt>
                <c:pt idx="2">
                  <c:v>78</c:v>
                </c:pt>
                <c:pt idx="3">
                  <c:v>68</c:v>
                </c:pt>
                <c:pt idx="4">
                  <c:v>56</c:v>
                </c:pt>
                <c:pt idx="5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ED-4707-BE15-EA8FF1A28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5</xdr:row>
      <xdr:rowOff>220980</xdr:rowOff>
    </xdr:from>
    <xdr:to>
      <xdr:col>11</xdr:col>
      <xdr:colOff>1722120</xdr:colOff>
      <xdr:row>8</xdr:row>
      <xdr:rowOff>38100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82740" y="1363980"/>
          <a:ext cx="1744980" cy="502920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784860</xdr:colOff>
      <xdr:row>11</xdr:row>
      <xdr:rowOff>41910</xdr:rowOff>
    </xdr:from>
    <xdr:to>
      <xdr:col>18</xdr:col>
      <xdr:colOff>22860</xdr:colOff>
      <xdr:row>23</xdr:row>
      <xdr:rowOff>41910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9</xdr:row>
          <xdr:rowOff>7620</xdr:rowOff>
        </xdr:from>
        <xdr:to>
          <xdr:col>11</xdr:col>
          <xdr:colOff>830580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</xdr:rowOff>
        </xdr:from>
        <xdr:to>
          <xdr:col>6</xdr:col>
          <xdr:colOff>144780</xdr:colOff>
          <xdr:row>1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住所取得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C6C40-939C-46B2-B17C-254DCB813D19}">
  <sheetPr codeName="Sheet1"/>
  <dimension ref="A1:Q8"/>
  <sheetViews>
    <sheetView workbookViewId="0">
      <pane ySplit="1" topLeftCell="A2" activePane="bottomLeft" state="frozen"/>
      <selection pane="bottomLeft" activeCell="H12" sqref="H12"/>
    </sheetView>
  </sheetViews>
  <sheetFormatPr defaultRowHeight="18" x14ac:dyDescent="0.45"/>
  <cols>
    <col min="12" max="12" width="24.5" customWidth="1"/>
    <col min="13" max="13" width="26" customWidth="1"/>
  </cols>
  <sheetData>
    <row r="1" spans="1:17" x14ac:dyDescent="0.45">
      <c r="A1" s="5" t="s">
        <v>16</v>
      </c>
      <c r="B1" s="5" t="s">
        <v>17</v>
      </c>
      <c r="C1" s="5" t="s">
        <v>21</v>
      </c>
      <c r="D1" s="5" t="s">
        <v>22</v>
      </c>
      <c r="E1" s="8" t="s">
        <v>23</v>
      </c>
      <c r="F1" s="9" t="s">
        <v>35</v>
      </c>
      <c r="G1" s="8" t="s">
        <v>25</v>
      </c>
      <c r="H1" s="7" t="s">
        <v>34</v>
      </c>
    </row>
    <row r="2" spans="1:17" x14ac:dyDescent="0.45">
      <c r="A2" s="4" t="s">
        <v>20</v>
      </c>
      <c r="B2" s="3" t="s">
        <v>10</v>
      </c>
      <c r="C2" s="6">
        <v>45</v>
      </c>
      <c r="D2" s="4">
        <v>68</v>
      </c>
      <c r="E2" s="4">
        <v>98</v>
      </c>
      <c r="F2" s="10">
        <f>AVERAGE(C2:E2)</f>
        <v>70.333333333333329</v>
      </c>
      <c r="G2" s="4">
        <f>SUM(C2:E2)</f>
        <v>211</v>
      </c>
      <c r="H2" s="4" t="s">
        <v>0</v>
      </c>
      <c r="Q2" t="s">
        <v>1</v>
      </c>
    </row>
    <row r="3" spans="1:17" x14ac:dyDescent="0.45">
      <c r="A3" s="4" t="s">
        <v>5</v>
      </c>
      <c r="B3" s="3" t="s">
        <v>11</v>
      </c>
      <c r="C3" s="6">
        <v>34</v>
      </c>
      <c r="D3" s="4">
        <v>78</v>
      </c>
      <c r="E3" s="4">
        <v>7</v>
      </c>
      <c r="F3" s="10">
        <f t="shared" ref="F3:F7" si="0">AVERAGE(C3:E3)</f>
        <v>39.666666666666664</v>
      </c>
      <c r="G3" s="4">
        <f t="shared" ref="G3:G7" si="1">SUM(C3:E3)</f>
        <v>119</v>
      </c>
      <c r="H3" s="4"/>
      <c r="L3" s="1" t="s">
        <v>16</v>
      </c>
      <c r="M3" s="1" t="s">
        <v>17</v>
      </c>
      <c r="Q3" t="s">
        <v>2</v>
      </c>
    </row>
    <row r="4" spans="1:17" x14ac:dyDescent="0.45">
      <c r="A4" s="4" t="s">
        <v>6</v>
      </c>
      <c r="B4" s="3" t="s">
        <v>12</v>
      </c>
      <c r="C4" s="4">
        <v>78</v>
      </c>
      <c r="D4" s="4">
        <v>78</v>
      </c>
      <c r="E4" s="4">
        <v>8</v>
      </c>
      <c r="F4" s="10">
        <f t="shared" si="0"/>
        <v>54.666666666666664</v>
      </c>
      <c r="G4" s="4">
        <f t="shared" si="1"/>
        <v>164</v>
      </c>
      <c r="H4" s="4"/>
      <c r="L4" s="2" t="s">
        <v>19</v>
      </c>
      <c r="M4" t="str">
        <f>_xlfn.IFNA(VLOOKUP(L4,A:B,2,FALSE),"找不到对象")</f>
        <v>朱七</v>
      </c>
      <c r="N4" t="s">
        <v>18</v>
      </c>
      <c r="Q4" t="s">
        <v>3</v>
      </c>
    </row>
    <row r="5" spans="1:17" x14ac:dyDescent="0.45">
      <c r="A5" s="4" t="s">
        <v>7</v>
      </c>
      <c r="B5" s="3" t="s">
        <v>13</v>
      </c>
      <c r="C5" s="4">
        <v>68</v>
      </c>
      <c r="D5" s="4">
        <v>67</v>
      </c>
      <c r="E5" s="4">
        <v>67</v>
      </c>
      <c r="F5" s="10">
        <f t="shared" si="0"/>
        <v>67.333333333333329</v>
      </c>
      <c r="G5" s="4">
        <f t="shared" si="1"/>
        <v>202</v>
      </c>
      <c r="H5" s="4"/>
      <c r="L5" s="2" t="s">
        <v>26</v>
      </c>
      <c r="M5" t="str">
        <f>_xlfn.IFNA(VLOOKUP(L5,A:B,2,FALSE),"找不到对象")</f>
        <v>找不到对象</v>
      </c>
      <c r="Q5" t="s">
        <v>4</v>
      </c>
    </row>
    <row r="6" spans="1:17" x14ac:dyDescent="0.45">
      <c r="A6" s="4" t="s">
        <v>8</v>
      </c>
      <c r="B6" s="3" t="s">
        <v>14</v>
      </c>
      <c r="C6" s="4">
        <v>56</v>
      </c>
      <c r="D6" s="4">
        <v>6</v>
      </c>
      <c r="E6" s="4">
        <v>56</v>
      </c>
      <c r="F6" s="10">
        <f t="shared" si="0"/>
        <v>39.333333333333336</v>
      </c>
      <c r="G6" s="4">
        <f t="shared" si="1"/>
        <v>118</v>
      </c>
      <c r="H6" s="4"/>
    </row>
    <row r="7" spans="1:17" x14ac:dyDescent="0.45">
      <c r="A7" s="4" t="s">
        <v>9</v>
      </c>
      <c r="B7" s="3" t="s">
        <v>15</v>
      </c>
      <c r="C7" s="4">
        <v>89</v>
      </c>
      <c r="D7" s="4">
        <v>56</v>
      </c>
      <c r="E7" s="4">
        <v>98</v>
      </c>
      <c r="F7" s="10">
        <f t="shared" si="0"/>
        <v>81</v>
      </c>
      <c r="G7" s="4">
        <f t="shared" si="1"/>
        <v>243</v>
      </c>
      <c r="H7" s="4"/>
      <c r="L7" s="1" t="s">
        <v>24</v>
      </c>
      <c r="M7">
        <f>COUNTIF(C:C,"&gt;=60")</f>
        <v>3</v>
      </c>
    </row>
    <row r="8" spans="1:17" x14ac:dyDescent="0.45">
      <c r="L8" s="1" t="s">
        <v>27</v>
      </c>
      <c r="M8">
        <f>SUMIF(C:C,"&gt;=60")</f>
        <v>235</v>
      </c>
    </row>
  </sheetData>
  <autoFilter ref="A1:N9" xr:uid="{5AEC6C40-939C-46B2-B17C-254DCB813D19}"/>
  <sortState xmlns:xlrd2="http://schemas.microsoft.com/office/spreadsheetml/2017/richdata2" ref="A2:H7">
    <sortCondition ref="A2:A7"/>
  </sortState>
  <phoneticPr fontId="2"/>
  <conditionalFormatting sqref="C2:F1048576 C1:E1">
    <cfRule type="expression" dxfId="0" priority="1">
      <formula>C1&lt;60</formula>
    </cfRule>
  </conditionalFormatting>
  <dataValidations count="1">
    <dataValidation type="list" allowBlank="1" showInputMessage="1" showErrorMessage="1" sqref="H1:H1048576" xr:uid="{20468AD1-E145-4D69-ACD9-BC0998CC7429}">
      <formula1>$Q$2:$Q$5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11</xdr:col>
                    <xdr:colOff>114300</xdr:colOff>
                    <xdr:row>9</xdr:row>
                    <xdr:rowOff>7620</xdr:rowOff>
                  </from>
                  <to>
                    <xdr:col>11</xdr:col>
                    <xdr:colOff>830580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23B8C-8973-4378-A80F-147894E5DFFB}">
  <sheetPr codeName="Sheet3"/>
  <dimension ref="A1:E5"/>
  <sheetViews>
    <sheetView tabSelected="1" workbookViewId="0">
      <selection activeCell="E15" sqref="E15"/>
    </sheetView>
  </sheetViews>
  <sheetFormatPr defaultRowHeight="15" x14ac:dyDescent="0.45"/>
  <cols>
    <col min="1" max="1" width="9.09765625" style="11" bestFit="1" customWidth="1"/>
    <col min="2" max="2" width="13.19921875" style="11" bestFit="1" customWidth="1"/>
    <col min="3" max="4" width="10.3984375" style="11" bestFit="1" customWidth="1"/>
    <col min="5" max="5" width="10" style="11" bestFit="1" customWidth="1"/>
    <col min="6" max="16384" width="8.796875" style="11"/>
  </cols>
  <sheetData>
    <row r="1" spans="1:5" x14ac:dyDescent="0.45">
      <c r="A1" s="13" t="s">
        <v>36</v>
      </c>
      <c r="B1" s="13" t="s">
        <v>37</v>
      </c>
      <c r="C1" s="13" t="s">
        <v>38</v>
      </c>
      <c r="D1" s="13" t="s">
        <v>39</v>
      </c>
      <c r="E1" s="13" t="s">
        <v>40</v>
      </c>
    </row>
    <row r="2" spans="1:5" x14ac:dyDescent="0.45">
      <c r="A2" s="13" t="s">
        <v>41</v>
      </c>
      <c r="B2" s="13" t="s">
        <v>42</v>
      </c>
      <c r="C2" s="13" t="s">
        <v>43</v>
      </c>
      <c r="D2" s="13" t="s">
        <v>44</v>
      </c>
      <c r="E2" s="13" t="s">
        <v>45</v>
      </c>
    </row>
    <row r="3" spans="1:5" x14ac:dyDescent="0.45">
      <c r="A3" s="12">
        <v>2730045</v>
      </c>
      <c r="B3" s="12">
        <v>12</v>
      </c>
      <c r="C3" s="14" t="s">
        <v>46</v>
      </c>
      <c r="D3" s="12" t="s">
        <v>47</v>
      </c>
      <c r="E3" s="12" t="s">
        <v>48</v>
      </c>
    </row>
    <row r="4" spans="1:5" x14ac:dyDescent="0.45">
      <c r="A4" s="12"/>
      <c r="B4" s="12"/>
      <c r="C4" s="12"/>
      <c r="D4" s="12"/>
      <c r="E4" s="12"/>
    </row>
    <row r="5" spans="1:5" x14ac:dyDescent="0.45">
      <c r="A5" s="12"/>
      <c r="B5" s="12"/>
      <c r="C5" s="12"/>
      <c r="D5" s="12"/>
      <c r="E5" s="12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住所取得_Click">
                <anchor moveWithCells="1" sizeWithCells="1">
                  <from>
                    <xdr:col>5</xdr:col>
                    <xdr:colOff>45720</xdr:colOff>
                    <xdr:row>0</xdr:row>
                    <xdr:rowOff>15240</xdr:rowOff>
                  </from>
                  <to>
                    <xdr:col>6</xdr:col>
                    <xdr:colOff>144780</xdr:colOff>
                    <xdr:row>1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0869E-73E9-4F63-8ECB-9AB70765C19C}">
  <sheetPr codeName="Sheet2"/>
  <dimension ref="A1:C3"/>
  <sheetViews>
    <sheetView workbookViewId="0">
      <selection activeCell="C3" sqref="C3"/>
    </sheetView>
  </sheetViews>
  <sheetFormatPr defaultRowHeight="18" x14ac:dyDescent="0.45"/>
  <cols>
    <col min="1" max="1" width="13.8984375" customWidth="1"/>
    <col min="2" max="2" width="24.796875" customWidth="1"/>
    <col min="3" max="3" width="25.19921875" customWidth="1"/>
  </cols>
  <sheetData>
    <row r="1" spans="1:3" x14ac:dyDescent="0.45">
      <c r="A1" t="s">
        <v>28</v>
      </c>
      <c r="B1" t="s">
        <v>31</v>
      </c>
      <c r="C1" t="s">
        <v>33</v>
      </c>
    </row>
    <row r="2" spans="1:3" x14ac:dyDescent="0.45">
      <c r="A2" t="s">
        <v>29</v>
      </c>
      <c r="B2">
        <v>34</v>
      </c>
      <c r="C2" t="s">
        <v>32</v>
      </c>
    </row>
    <row r="3" spans="1:3" x14ac:dyDescent="0.45">
      <c r="A3" t="s">
        <v>30</v>
      </c>
      <c r="B3">
        <v>46</v>
      </c>
      <c r="C3" t="s">
        <v>32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基本操作</vt:lpstr>
      <vt:lpstr>郵便番号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SOYI_USER</dc:creator>
  <cp:lastModifiedBy>SOYI_USER</cp:lastModifiedBy>
  <dcterms:created xsi:type="dcterms:W3CDTF">2023-03-12T11:36:08Z</dcterms:created>
  <dcterms:modified xsi:type="dcterms:W3CDTF">2023-08-31T13:19:47Z</dcterms:modified>
</cp:coreProperties>
</file>